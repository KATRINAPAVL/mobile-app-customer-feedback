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s" sheetId="1" state="visible" r:id="rId1"/>
    <sheet name="Summary" sheetId="2" state="visible" r:id="rId2"/>
  </sheets>
  <definedNames>
    <definedName name="_xlnm._FilterDatabase" localSheetId="0" hidden="1">'Reviews'!$A$1:$K$41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1" fillId="2" borderId="0" pivotButton="0" quotePrefix="0" xfId="0"/>
    <xf numFmtId="2" fontId="0" fillId="0" borderId="0" pivotButton="0" quotePrefix="0" xfId="0"/>
    <xf numFmtId="0" fontId="2" fillId="0" borderId="0" pivotButton="0" quotePrefix="0" xfId="0"/>
    <xf numFmtId="2"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8" customWidth="1" min="3" max="3"/>
    <col width="40" customWidth="1" min="4" max="4"/>
    <col width="70" customWidth="1" min="5" max="5"/>
    <col width="22" customWidth="1" min="6" max="6"/>
    <col width="12" customWidth="1" min="7" max="7"/>
    <col width="22" customWidth="1" min="8" max="8"/>
    <col width="14" customWidth="1" min="9" max="9"/>
    <col width="40" customWidth="1" min="10" max="10"/>
    <col width="6" customWidth="1" min="11" max="11"/>
  </cols>
  <sheetData>
    <row r="1">
      <c r="A1" s="1" t="inlineStr">
        <is>
          <t>Country</t>
        </is>
      </c>
      <c r="B1" s="1" t="inlineStr">
        <is>
          <t>Country code</t>
        </is>
      </c>
      <c r="C1" s="1" t="inlineStr">
        <is>
          <t>Rating</t>
        </is>
      </c>
      <c r="D1" s="1" t="inlineStr">
        <is>
          <t>Title</t>
        </is>
      </c>
      <c r="E1" s="1" t="inlineStr">
        <is>
          <t>Content</t>
        </is>
      </c>
      <c r="F1" s="1" t="inlineStr">
        <is>
          <t>Author</t>
        </is>
      </c>
      <c r="G1" s="1" t="inlineStr">
        <is>
          <t>App version</t>
        </is>
      </c>
      <c r="H1" s="1" t="inlineStr">
        <is>
          <t>Updated (UTC)</t>
        </is>
      </c>
      <c r="I1" s="1" t="inlineStr">
        <is>
          <t>Review ID</t>
        </is>
      </c>
      <c r="J1" s="1" t="inlineStr">
        <is>
          <t>Author URI</t>
        </is>
      </c>
      <c r="K1" s="1" t="inlineStr">
        <is>
          <t>Page</t>
        </is>
      </c>
    </row>
    <row r="2">
      <c r="A2" s="2" t="inlineStr">
        <is>
          <t>Lithuania</t>
        </is>
      </c>
      <c r="B2" s="2" t="inlineStr">
        <is>
          <t>lt</t>
        </is>
      </c>
      <c r="C2" s="2" t="n">
        <v>5</v>
      </c>
      <c r="D2" s="3" t="inlineStr">
        <is>
          <t>The best bank</t>
        </is>
      </c>
      <c r="E2" s="3" t="inlineStr">
        <is>
          <t>Good app</t>
        </is>
      </c>
      <c r="F2" s="2" t="inlineStr">
        <is>
          <t>jiojhu</t>
        </is>
      </c>
      <c r="G2" s="2" t="inlineStr">
        <is>
          <t>46.0</t>
        </is>
      </c>
      <c r="H2" s="2" t="inlineStr">
        <is>
          <t>2026-03-30T00:40:53-07:00</t>
        </is>
      </c>
      <c r="I2" s="2" t="inlineStr">
        <is>
          <t>13902584718</t>
        </is>
      </c>
      <c r="J2" s="2" t="inlineStr">
        <is>
          <t>https://itunes.apple.com/lt/reviews/id545295297</t>
        </is>
      </c>
      <c r="K2" s="2" t="n">
        <v>1</v>
      </c>
    </row>
    <row r="3">
      <c r="A3" s="2" t="inlineStr">
        <is>
          <t>Lithuania</t>
        </is>
      </c>
      <c r="B3" s="2" t="inlineStr">
        <is>
          <t>lt</t>
        </is>
      </c>
      <c r="C3" s="2" t="n">
        <v>1</v>
      </c>
      <c r="D3" s="3" t="inlineStr">
        <is>
          <t>Nepavyksta susikurti paskyros</t>
        </is>
      </c>
      <c r="E3" s="3" t="inlineStr">
        <is>
          <t>Bandžiau susikurti banko paskyrą per mobiliąją programėlę, kad galėčiau naudotis investavimo paslaugomis, tačiau pats registracijos procesas taip ir nebuvo užbaigtas dėl programėlės problemų.
Iš pradžių maniau, kad problema gali būti mano pusėje, todėl išbandžiau skirtingus Wi-Fi/mobiliojo ryšio tinklus, patikrinau ar naudojama naujausia programėlės versija, taip pat ar atnaujinta telefono operacinė sistema. Deja, tai nieko nepakeitė – klaida kartojosi.
Programėlė nesuteikė jokio aiškaus paaiškinimo, kas negerai, gaudavau pranešimą “Kažkas nepavyko. Bandyk dar kartą!“. Kreipiausi į klientų aptarnavimą, tačiau buvo pasiūlyti tik tie patys bendri patarimai, kuriuos jau buvau išbandęs. Vėliau, nors kelis kartus raštu aprašiau problemą, buvo pasakyta, kad konsultantės nemato mano laiško ir negali padėti.
Tokia patirtis kelia rimtų abejonių dėl pačios programėlės patikimumo, ypač kai kalbama apie finansines ir investavimo paslaugas. Dėl to nusprendžiau šios programėlės nenaudoti ir banko paslaugų atsisakyti.</t>
        </is>
      </c>
      <c r="F3" s="2" t="inlineStr">
        <is>
          <t>Kasparas Z.</t>
        </is>
      </c>
      <c r="G3" s="2" t="inlineStr">
        <is>
          <t>45.7</t>
        </is>
      </c>
      <c r="H3" s="2" t="inlineStr">
        <is>
          <t>2026-02-03T08:50:18-07:00</t>
        </is>
      </c>
      <c r="I3" s="2" t="inlineStr">
        <is>
          <t>13708898565</t>
        </is>
      </c>
      <c r="J3" s="2" t="inlineStr">
        <is>
          <t>https://itunes.apple.com/lt/reviews/id829252332</t>
        </is>
      </c>
      <c r="K3" s="2" t="n">
        <v>1</v>
      </c>
    </row>
    <row r="4">
      <c r="A4" s="2" t="inlineStr">
        <is>
          <t>Lithuania</t>
        </is>
      </c>
      <c r="B4" s="2" t="inlineStr">
        <is>
          <t>lt</t>
        </is>
      </c>
      <c r="C4" s="2" t="n">
        <v>5</v>
      </c>
      <c r="D4" s="3" t="inlineStr">
        <is>
          <t>Считай мои</t>
        </is>
      </c>
      <c r="E4" s="3" t="inlineStr">
        <is>
          <t>Все хорошо</t>
        </is>
      </c>
      <c r="F4" s="2" t="inlineStr">
        <is>
          <t>Фонтамаз</t>
        </is>
      </c>
      <c r="G4" s="2" t="inlineStr">
        <is>
          <t>45.7</t>
        </is>
      </c>
      <c r="H4" s="2" t="inlineStr">
        <is>
          <t>2025-12-15T06:52:16-07:00</t>
        </is>
      </c>
      <c r="I4" s="2" t="inlineStr">
        <is>
          <t>13516701338</t>
        </is>
      </c>
      <c r="J4" s="2" t="inlineStr">
        <is>
          <t>https://itunes.apple.com/lt/reviews/id584566429</t>
        </is>
      </c>
      <c r="K4" s="2" t="n">
        <v>1</v>
      </c>
    </row>
    <row r="5">
      <c r="A5" s="2" t="inlineStr">
        <is>
          <t>Lithuania</t>
        </is>
      </c>
      <c r="B5" s="2" t="inlineStr">
        <is>
          <t>lt</t>
        </is>
      </c>
      <c r="C5" s="2" t="n">
        <v>5</v>
      </c>
      <c r="D5" s="3" t="inlineStr">
        <is>
          <t>Puikus finansinis partneris</t>
        </is>
      </c>
      <c r="E5" s="3" t="inlineStr">
        <is>
          <t>Turiu lizingo sutartį ir kreditinę kortelę. Viskas paprasta nuo paraiškos iki kasdienio vartojimo. 😊</t>
        </is>
      </c>
      <c r="F5" s="2" t="inlineStr">
        <is>
          <t>Rasa2a</t>
        </is>
      </c>
      <c r="G5" s="2" t="inlineStr">
        <is>
          <t>45.7</t>
        </is>
      </c>
      <c r="H5" s="2" t="inlineStr">
        <is>
          <t>2025-12-15T03:10:19-07:00</t>
        </is>
      </c>
      <c r="I5" s="2" t="inlineStr">
        <is>
          <t>13516041617</t>
        </is>
      </c>
      <c r="J5" s="2" t="inlineStr">
        <is>
          <t>https://itunes.apple.com/lt/reviews/id488735204</t>
        </is>
      </c>
      <c r="K5" s="2" t="n">
        <v>1</v>
      </c>
    </row>
    <row r="6">
      <c r="A6" s="2" t="inlineStr">
        <is>
          <t>Lithuania</t>
        </is>
      </c>
      <c r="B6" s="2" t="inlineStr">
        <is>
          <t>lt</t>
        </is>
      </c>
      <c r="C6" s="2" t="n">
        <v>1</v>
      </c>
      <c r="D6" s="3" t="inlineStr">
        <is>
          <t>Very bad</t>
        </is>
      </c>
      <c r="E6" s="3" t="inlineStr">
        <is>
          <t>After app was updated all went wrong. Mobile scan stoped working. To login with mobile signature take more than minute. Old app was much better.</t>
        </is>
      </c>
      <c r="F6" s="2" t="inlineStr">
        <is>
          <t>Dr Solik</t>
        </is>
      </c>
      <c r="G6" s="2" t="inlineStr">
        <is>
          <t>45.5</t>
        </is>
      </c>
      <c r="H6" s="2" t="inlineStr">
        <is>
          <t>2025-10-31T10:38:30-07:00</t>
        </is>
      </c>
      <c r="I6" s="2" t="inlineStr">
        <is>
          <t>13338839568</t>
        </is>
      </c>
      <c r="J6" s="2" t="inlineStr">
        <is>
          <t>https://itunes.apple.com/lt/reviews/id451394272</t>
        </is>
      </c>
      <c r="K6" s="2" t="n">
        <v>1</v>
      </c>
    </row>
    <row r="7">
      <c r="A7" s="2" t="inlineStr">
        <is>
          <t>Lithuania</t>
        </is>
      </c>
      <c r="B7" s="2" t="inlineStr">
        <is>
          <t>lt</t>
        </is>
      </c>
      <c r="C7" s="2" t="n">
        <v>1</v>
      </c>
      <c r="D7" s="3" t="inlineStr">
        <is>
          <t>Prastai</t>
        </is>
      </c>
      <c r="E7" s="3" t="inlineStr">
        <is>
          <t>Kodėl dingo Face ID prisijungimas? Visi bankai daro kuo patogesnį prisijungimą, jūs padarėt kuo sudėtingesnį.. grąžinkite greitą ir paprastą prisijungimą su Face ID</t>
        </is>
      </c>
      <c r="F7" s="2" t="inlineStr">
        <is>
          <t>Ignelis300</t>
        </is>
      </c>
      <c r="G7" s="2" t="inlineStr">
        <is>
          <t>45.5</t>
        </is>
      </c>
      <c r="H7" s="2" t="inlineStr">
        <is>
          <t>2025-10-18T04:42:02-07:00</t>
        </is>
      </c>
      <c r="I7" s="2" t="inlineStr">
        <is>
          <t>13281979377</t>
        </is>
      </c>
      <c r="J7" s="2" t="inlineStr">
        <is>
          <t>https://itunes.apple.com/lt/reviews/id1098793952</t>
        </is>
      </c>
      <c r="K7" s="2" t="n">
        <v>1</v>
      </c>
    </row>
    <row r="8">
      <c r="A8" s="2" t="inlineStr">
        <is>
          <t>Lithuania</t>
        </is>
      </c>
      <c r="B8" s="2" t="inlineStr">
        <is>
          <t>lt</t>
        </is>
      </c>
      <c r="C8" s="2" t="n">
        <v>5</v>
      </c>
      <c r="D8" s="3" t="inlineStr">
        <is>
          <t>Citadele app review</t>
        </is>
      </c>
      <c r="E8" s="3" t="inlineStr">
        <is>
          <t>The app is easy to use with all the necessary features that are required in day to day life. Moreover, the app offers points for transactions which can be used for prices and discounts. So far I am more than satisfied with the app.</t>
        </is>
      </c>
      <c r="F8" s="2" t="inlineStr">
        <is>
          <t>Piju$</t>
        </is>
      </c>
      <c r="G8" s="2" t="inlineStr">
        <is>
          <t>45.0</t>
        </is>
      </c>
      <c r="H8" s="2" t="inlineStr">
        <is>
          <t>2025-04-23T02:09:01-07:00</t>
        </is>
      </c>
      <c r="I8" s="2" t="inlineStr">
        <is>
          <t>12576000760</t>
        </is>
      </c>
      <c r="J8" s="2" t="inlineStr">
        <is>
          <t>https://itunes.apple.com/lt/reviews/id1237346534</t>
        </is>
      </c>
      <c r="K8" s="2" t="n">
        <v>1</v>
      </c>
    </row>
    <row r="9">
      <c r="A9" s="2" t="inlineStr">
        <is>
          <t>Lithuania</t>
        </is>
      </c>
      <c r="B9" s="2" t="inlineStr">
        <is>
          <t>lt</t>
        </is>
      </c>
      <c r="C9" s="2" t="n">
        <v>1</v>
      </c>
      <c r="D9" s="3" t="inlineStr">
        <is>
          <t>Neveikia</t>
        </is>
      </c>
      <c r="E9" s="3" t="inlineStr">
        <is>
          <t>Sudas ne programa neimanoma prisijungti</t>
        </is>
      </c>
      <c r="F9" s="2" t="inlineStr">
        <is>
          <t>J0ku643</t>
        </is>
      </c>
      <c r="G9" s="2" t="inlineStr">
        <is>
          <t>45.0</t>
        </is>
      </c>
      <c r="H9" s="2" t="inlineStr">
        <is>
          <t>2025-04-17T03:03:32-07:00</t>
        </is>
      </c>
      <c r="I9" s="2" t="inlineStr">
        <is>
          <t>12553195578</t>
        </is>
      </c>
      <c r="J9" s="2" t="inlineStr">
        <is>
          <t>https://itunes.apple.com/lt/reviews/id648335191</t>
        </is>
      </c>
      <c r="K9" s="2" t="n">
        <v>1</v>
      </c>
    </row>
    <row r="10">
      <c r="A10" s="2" t="inlineStr">
        <is>
          <t>Lithuania</t>
        </is>
      </c>
      <c r="B10" s="2" t="inlineStr">
        <is>
          <t>lt</t>
        </is>
      </c>
      <c r="C10" s="2" t="n">
        <v>2</v>
      </c>
      <c r="D10" s="3" t="inlineStr">
        <is>
          <t>Labai prastai atsinaujinot</t>
        </is>
      </c>
      <c r="E10" s="3" t="inlineStr">
        <is>
          <t>Labai prastas atnaujintas UX, visiškai ne user friendly. Nepatogu naudotis, visos funkcijos sudėtos po scrollu vietoj quick access mygtukų. Daug bereikalingo whitespace pačiam viršuj ir keistu hierarchijos išdėstymu (neaktualios paslaugos pateiktos aukščiau nei aktualios). Atrodo tarsi bandyta kopijuot Revolut appsą, bet UX’ą internas darė.</t>
        </is>
      </c>
      <c r="F10" s="2" t="inlineStr">
        <is>
          <t>Rugilė</t>
        </is>
      </c>
      <c r="G10" s="2" t="inlineStr">
        <is>
          <t>44.0</t>
        </is>
      </c>
      <c r="H10" s="2" t="inlineStr">
        <is>
          <t>2024-11-13T03:39:45-07:00</t>
        </is>
      </c>
      <c r="I10" s="2" t="inlineStr">
        <is>
          <t>11944884614</t>
        </is>
      </c>
      <c r="J10" s="2" t="inlineStr">
        <is>
          <t>https://itunes.apple.com/lt/reviews/id310367494</t>
        </is>
      </c>
      <c r="K10" s="2" t="n">
        <v>1</v>
      </c>
    </row>
    <row r="11">
      <c r="A11" s="2" t="inlineStr">
        <is>
          <t>Lithuania</t>
        </is>
      </c>
      <c r="B11" s="2" t="inlineStr">
        <is>
          <t>lt</t>
        </is>
      </c>
      <c r="C11" s="2" t="n">
        <v>5</v>
      </c>
      <c r="D11" s="3" t="inlineStr">
        <is>
          <t>Service</t>
        </is>
      </c>
      <c r="E11" s="3" t="inlineStr">
        <is>
          <t>Exilent</t>
        </is>
      </c>
      <c r="F11" s="2" t="inlineStr">
        <is>
          <t>Has Karan</t>
        </is>
      </c>
      <c r="G11" s="2" t="inlineStr">
        <is>
          <t>14.2</t>
        </is>
      </c>
      <c r="H11" s="2" t="inlineStr">
        <is>
          <t>2024-07-12T10:26:21-07:00</t>
        </is>
      </c>
      <c r="I11" s="2" t="inlineStr">
        <is>
          <t>11485365551</t>
        </is>
      </c>
      <c r="J11" s="2" t="inlineStr">
        <is>
          <t>https://itunes.apple.com/lt/reviews/id1670546040</t>
        </is>
      </c>
      <c r="K11" s="2" t="n">
        <v>1</v>
      </c>
    </row>
    <row r="12">
      <c r="A12" s="2" t="inlineStr">
        <is>
          <t>Lithuania</t>
        </is>
      </c>
      <c r="B12" s="2" t="inlineStr">
        <is>
          <t>lt</t>
        </is>
      </c>
      <c r="C12" s="2" t="n">
        <v>3</v>
      </c>
      <c r="D12" s="3" t="inlineStr">
        <is>
          <t>Lacks features.</t>
        </is>
      </c>
      <c r="E12" s="3" t="inlineStr">
        <is>
          <t>Please add budgeting and analytics! And Don’t underpay your developers!</t>
        </is>
      </c>
      <c r="F12" s="2" t="inlineStr">
        <is>
          <t>ElvinasM</t>
        </is>
      </c>
      <c r="G12" s="2" t="inlineStr">
        <is>
          <t>14.1</t>
        </is>
      </c>
      <c r="H12" s="2" t="inlineStr">
        <is>
          <t>2024-05-30T01:50:07-07:00</t>
        </is>
      </c>
      <c r="I12" s="2" t="inlineStr">
        <is>
          <t>11323012275</t>
        </is>
      </c>
      <c r="J12" s="2" t="inlineStr">
        <is>
          <t>https://itunes.apple.com/lt/reviews/id1613314381</t>
        </is>
      </c>
      <c r="K12" s="2" t="n">
        <v>1</v>
      </c>
    </row>
    <row r="13">
      <c r="A13" s="2" t="inlineStr">
        <is>
          <t>Lithuania</t>
        </is>
      </c>
      <c r="B13" s="2" t="inlineStr">
        <is>
          <t>lt</t>
        </is>
      </c>
      <c r="C13" s="2" t="n">
        <v>1</v>
      </c>
      <c r="D13" s="3" t="inlineStr">
        <is>
          <t>Very bad</t>
        </is>
      </c>
      <c r="E13" s="3" t="inlineStr">
        <is>
          <t>Labai nepatogi programele, visada stringa, norint prisijungti visada susinervuoji. Iki swedbank programeles jums dar augti ir augti.</t>
        </is>
      </c>
      <c r="F13" s="2" t="inlineStr">
        <is>
          <t>Varlytė</t>
        </is>
      </c>
      <c r="G13" s="2" t="inlineStr">
        <is>
          <t>13.7</t>
        </is>
      </c>
      <c r="H13" s="2" t="inlineStr">
        <is>
          <t>2024-02-25T08:10:30-07:00</t>
        </is>
      </c>
      <c r="I13" s="2" t="inlineStr">
        <is>
          <t>10978748223</t>
        </is>
      </c>
      <c r="J13" s="2" t="inlineStr">
        <is>
          <t>https://itunes.apple.com/lt/reviews/id337977041</t>
        </is>
      </c>
      <c r="K13" s="2" t="n">
        <v>1</v>
      </c>
    </row>
    <row r="14">
      <c r="A14" s="2" t="inlineStr">
        <is>
          <t>Lithuania</t>
        </is>
      </c>
      <c r="B14" s="2" t="inlineStr">
        <is>
          <t>lt</t>
        </is>
      </c>
      <c r="C14" s="2" t="n">
        <v>1</v>
      </c>
      <c r="D14" s="3" t="inlineStr">
        <is>
          <t>Problems</t>
        </is>
      </c>
      <c r="E14" s="3" t="inlineStr">
        <is>
          <t>App widget stopped working few weeks ago and still no update to solve this problem</t>
        </is>
      </c>
      <c r="F14" s="2" t="inlineStr">
        <is>
          <t>Greatnumber</t>
        </is>
      </c>
      <c r="G14" s="2" t="inlineStr">
        <is>
          <t>13.7</t>
        </is>
      </c>
      <c r="H14" s="2" t="inlineStr">
        <is>
          <t>2024-01-30T03:16:49-07:00</t>
        </is>
      </c>
      <c r="I14" s="2" t="inlineStr">
        <is>
          <t>10880595053</t>
        </is>
      </c>
      <c r="J14" s="2" t="inlineStr">
        <is>
          <t>https://itunes.apple.com/lt/reviews/id290389315</t>
        </is>
      </c>
      <c r="K14" s="2" t="n">
        <v>1</v>
      </c>
    </row>
    <row r="15">
      <c r="A15" s="2" t="inlineStr">
        <is>
          <t>Lithuania</t>
        </is>
      </c>
      <c r="B15" s="2" t="inlineStr">
        <is>
          <t>lt</t>
        </is>
      </c>
      <c r="C15" s="2" t="n">
        <v>5</v>
      </c>
      <c r="D15" s="3" t="inlineStr">
        <is>
          <t>Widget</t>
        </is>
      </c>
      <c r="E15" s="3" t="inlineStr">
        <is>
          <t>Netelpa likutis į mažesnį vidžetą.Gražinkit € ženkliuką vietoj EUR.Anksčiau atrode daug geriau…</t>
        </is>
      </c>
      <c r="F15" s="2" t="inlineStr">
        <is>
          <t>Georgij.P</t>
        </is>
      </c>
      <c r="G15" s="2" t="inlineStr">
        <is>
          <t>13.6</t>
        </is>
      </c>
      <c r="H15" s="2" t="inlineStr">
        <is>
          <t>2023-11-16T03:08:16-07:00</t>
        </is>
      </c>
      <c r="I15" s="2" t="inlineStr">
        <is>
          <t>10591091753</t>
        </is>
      </c>
      <c r="J15" s="2" t="inlineStr">
        <is>
          <t>https://itunes.apple.com/lt/reviews/id1270055122</t>
        </is>
      </c>
      <c r="K15" s="2" t="n">
        <v>1</v>
      </c>
    </row>
    <row r="16">
      <c r="A16" s="2" t="inlineStr">
        <is>
          <t>Lithuania</t>
        </is>
      </c>
      <c r="B16" s="2" t="inlineStr">
        <is>
          <t>lt</t>
        </is>
      </c>
      <c r="C16" s="2" t="n">
        <v>1</v>
      </c>
      <c r="D16" s="3" t="inlineStr">
        <is>
          <t>Buggs in IOs</t>
        </is>
      </c>
      <c r="E16" s="3" t="inlineStr">
        <is>
          <t>Fix this app!!</t>
        </is>
      </c>
      <c r="F16" s="2" t="inlineStr">
        <is>
          <t>ugne.leel</t>
        </is>
      </c>
      <c r="G16" s="2" t="inlineStr">
        <is>
          <t>13.2</t>
        </is>
      </c>
      <c r="H16" s="2" t="inlineStr">
        <is>
          <t>2023-06-22T02:54:39-07:00</t>
        </is>
      </c>
      <c r="I16" s="2" t="inlineStr">
        <is>
          <t>10059986408</t>
        </is>
      </c>
      <c r="J16" s="2" t="inlineStr">
        <is>
          <t>https://itunes.apple.com/lt/reviews/id1208548533</t>
        </is>
      </c>
      <c r="K16" s="2" t="n">
        <v>1</v>
      </c>
    </row>
    <row r="17">
      <c r="A17" s="2" t="inlineStr">
        <is>
          <t>Lithuania</t>
        </is>
      </c>
      <c r="B17" s="2" t="inlineStr">
        <is>
          <t>lt</t>
        </is>
      </c>
      <c r="C17" s="2" t="n">
        <v>4</v>
      </c>
      <c r="D17" s="3" t="inlineStr">
        <is>
          <t>Stabili</t>
        </is>
      </c>
      <c r="E17" s="3" t="inlineStr">
        <is>
          <t>Kodėl nėra “face” logino?</t>
        </is>
      </c>
      <c r="F17" s="2" t="inlineStr">
        <is>
          <t>Briedislankoj</t>
        </is>
      </c>
      <c r="G17" s="2" t="inlineStr">
        <is>
          <t>13.0</t>
        </is>
      </c>
      <c r="H17" s="2" t="inlineStr">
        <is>
          <t>2023-03-08T03:49:33-07:00</t>
        </is>
      </c>
      <c r="I17" s="2" t="inlineStr">
        <is>
          <t>9691604294</t>
        </is>
      </c>
      <c r="J17" s="2" t="inlineStr">
        <is>
          <t>https://itunes.apple.com/lt/reviews/id499715292</t>
        </is>
      </c>
      <c r="K17" s="2" t="n">
        <v>1</v>
      </c>
    </row>
    <row r="18">
      <c r="A18" s="2" t="inlineStr">
        <is>
          <t>Lithuania</t>
        </is>
      </c>
      <c r="B18" s="2" t="inlineStr">
        <is>
          <t>lt</t>
        </is>
      </c>
      <c r="C18" s="2" t="n">
        <v>1</v>
      </c>
      <c r="D18" s="3" t="inlineStr">
        <is>
          <t>Programėlė neveikia,</t>
        </is>
      </c>
      <c r="E18" s="3" t="inlineStr">
        <is>
          <t>Rodo raudoną ekraną be gyvybės žymių.
iOS 16.2</t>
        </is>
      </c>
      <c r="F18" s="2" t="inlineStr">
        <is>
          <t>Harpija</t>
        </is>
      </c>
      <c r="G18" s="2" t="inlineStr">
        <is>
          <t>12.48</t>
        </is>
      </c>
      <c r="H18" s="2" t="inlineStr">
        <is>
          <t>2023-01-02T02:24:08-07:00</t>
        </is>
      </c>
      <c r="I18" s="2" t="inlineStr">
        <is>
          <t>9461827348</t>
        </is>
      </c>
      <c r="J18" s="2" t="inlineStr">
        <is>
          <t>https://itunes.apple.com/lt/reviews/id321026036</t>
        </is>
      </c>
      <c r="K18" s="2" t="n">
        <v>1</v>
      </c>
    </row>
    <row r="19">
      <c r="A19" s="2" t="inlineStr">
        <is>
          <t>Lithuania</t>
        </is>
      </c>
      <c r="B19" s="2" t="inlineStr">
        <is>
          <t>lt</t>
        </is>
      </c>
      <c r="C19" s="2" t="n">
        <v>5</v>
      </c>
      <c r="D19" s="3" t="inlineStr">
        <is>
          <t>Del korteles aptarnavimo Dominikos respublikoje</t>
        </is>
      </c>
      <c r="E19" s="3" t="inlineStr">
        <is>
          <t>Siuo metu esu Dominikos respublikoje ir negaliu atsiskaityti kortele- kortele neaptarnaujama. Kaip isspresti sia problema kuo skubiau, nes likau be pinigu. Busiu Dominikoje iki lapkricio 14d. 
     Jolanta Bubeliene</t>
        </is>
      </c>
      <c r="F19" s="2" t="inlineStr">
        <is>
          <t>Jolanta Bubeliene</t>
        </is>
      </c>
      <c r="G19" s="2" t="inlineStr">
        <is>
          <t>12.42</t>
        </is>
      </c>
      <c r="H19" s="2" t="inlineStr">
        <is>
          <t>2021-11-08T02:10:48-07:00</t>
        </is>
      </c>
      <c r="I19" s="2" t="inlineStr">
        <is>
          <t>8001583075</t>
        </is>
      </c>
      <c r="J19" s="2" t="inlineStr">
        <is>
          <t>https://itunes.apple.com/lt/reviews/id616541741</t>
        </is>
      </c>
      <c r="K19" s="2" t="n">
        <v>1</v>
      </c>
    </row>
    <row r="20">
      <c r="A20" s="2" t="inlineStr">
        <is>
          <t>Lithuania</t>
        </is>
      </c>
      <c r="B20" s="2" t="inlineStr">
        <is>
          <t>lt</t>
        </is>
      </c>
      <c r="C20" s="2" t="n">
        <v>1</v>
      </c>
      <c r="D20" s="3" t="inlineStr">
        <is>
          <t>Nusivylimas</t>
        </is>
      </c>
      <c r="E20" s="3" t="inlineStr">
        <is>
          <t>Kaskart athaujinat programele dingsta prisijungimo pasirinkimai ir tenka skambint i klientu aptarnavima, siandien dingo net neatnaujinus programeles, trecias kartas per dvi savaites... 
Taip pat nesiuncia notificationu nors jie ir ijungti...</t>
        </is>
      </c>
      <c r="F20" s="2" t="inlineStr">
        <is>
          <t>Oswald Snelman</t>
        </is>
      </c>
      <c r="G20" s="2" t="inlineStr">
        <is>
          <t>12.41</t>
        </is>
      </c>
      <c r="H20" s="2" t="inlineStr">
        <is>
          <t>2021-10-13T05:08:13-07:00</t>
        </is>
      </c>
      <c r="I20" s="2" t="inlineStr">
        <is>
          <t>7909879783</t>
        </is>
      </c>
      <c r="J20" s="2" t="inlineStr">
        <is>
          <t>https://itunes.apple.com/lt/reviews/id879508084</t>
        </is>
      </c>
      <c r="K20" s="2" t="n">
        <v>1</v>
      </c>
    </row>
    <row r="21">
      <c r="A21" s="2" t="inlineStr">
        <is>
          <t>Lithuania</t>
        </is>
      </c>
      <c r="B21" s="2" t="inlineStr">
        <is>
          <t>lt</t>
        </is>
      </c>
      <c r="C21" s="2" t="n">
        <v>1</v>
      </c>
      <c r="D21" s="3" t="inlineStr">
        <is>
          <t>Nerekomenduoju</t>
        </is>
      </c>
      <c r="E21" s="3" t="inlineStr">
        <is>
          <t>Tapti klientu naudojant pasą tapatybės patvirtinimui neįmanoma, programėlė neveikia. Banko konsultantės visiškai neprofesionalios, nieko nesupranta apie programėlės fukncionalumus, nesugeba pasiūlyti jokio sprendimo tik registruotis dėl atvykimo į banko skyrių.</t>
        </is>
      </c>
      <c r="F21" s="2" t="inlineStr">
        <is>
          <t>ggreta1</t>
        </is>
      </c>
      <c r="G21" s="2" t="inlineStr">
        <is>
          <t>12.37</t>
        </is>
      </c>
      <c r="H21" s="2" t="inlineStr">
        <is>
          <t>2021-06-25T08:21:59-07:00</t>
        </is>
      </c>
      <c r="I21" s="2" t="inlineStr">
        <is>
          <t>7504737354</t>
        </is>
      </c>
      <c r="J21" s="2" t="inlineStr">
        <is>
          <t>https://itunes.apple.com/lt/reviews/id1303189925</t>
        </is>
      </c>
      <c r="K21" s="2" t="n">
        <v>1</v>
      </c>
    </row>
    <row r="22">
      <c r="A22" s="2" t="inlineStr">
        <is>
          <t>Lithuania</t>
        </is>
      </c>
      <c r="B22" s="2" t="inlineStr">
        <is>
          <t>lt</t>
        </is>
      </c>
      <c r="C22" s="2" t="n">
        <v>3</v>
      </c>
      <c r="D22" s="3" t="inlineStr">
        <is>
          <t>Notifications</t>
        </is>
      </c>
      <c r="E22" s="3" t="inlineStr">
        <is>
          <t>Kažkuriuo metu programėlė nustojo siųsti/rodyti notificationus? Tiek programėlės tiek telefono nustatymuose notifications įjungti. iOS 14.3</t>
        </is>
      </c>
      <c r="F22" s="2" t="inlineStr">
        <is>
          <t>Justuxasss69</t>
        </is>
      </c>
      <c r="G22" s="2" t="inlineStr">
        <is>
          <t>12.33</t>
        </is>
      </c>
      <c r="H22" s="2" t="inlineStr">
        <is>
          <t>2021-01-24T07:16:27-07:00</t>
        </is>
      </c>
      <c r="I22" s="2" t="inlineStr">
        <is>
          <t>6908292939</t>
        </is>
      </c>
      <c r="J22" s="2" t="inlineStr">
        <is>
          <t>https://itunes.apple.com/lt/reviews/id374785706</t>
        </is>
      </c>
      <c r="K22" s="2" t="n">
        <v>1</v>
      </c>
    </row>
    <row r="23">
      <c r="A23" s="2" t="inlineStr">
        <is>
          <t>Lithuania</t>
        </is>
      </c>
      <c r="B23" s="2" t="inlineStr">
        <is>
          <t>lt</t>
        </is>
      </c>
      <c r="C23" s="2" t="n">
        <v>2</v>
      </c>
      <c r="D23" s="3" t="inlineStr">
        <is>
          <t>Bėda</t>
        </is>
      </c>
      <c r="E23" s="3" t="inlineStr">
        <is>
          <t>Atsinaujinus iOS 13.5, programėlė veikia tragiškai</t>
        </is>
      </c>
      <c r="F23" s="2" t="inlineStr">
        <is>
          <t>DobVaje183</t>
        </is>
      </c>
      <c r="G23" s="2" t="inlineStr">
        <is>
          <t>12.25</t>
        </is>
      </c>
      <c r="H23" s="2" t="inlineStr">
        <is>
          <t>2020-05-24T02:38:13-07:00</t>
        </is>
      </c>
      <c r="I23" s="2" t="inlineStr">
        <is>
          <t>5987198875</t>
        </is>
      </c>
      <c r="J23" s="2" t="inlineStr">
        <is>
          <t>https://itunes.apple.com/lt/reviews/id1072036952</t>
        </is>
      </c>
      <c r="K23" s="2" t="n">
        <v>1</v>
      </c>
    </row>
    <row r="24">
      <c r="A24" s="2" t="inlineStr">
        <is>
          <t>Lithuania</t>
        </is>
      </c>
      <c r="B24" s="2" t="inlineStr">
        <is>
          <t>lt</t>
        </is>
      </c>
      <c r="C24" s="2" t="n">
        <v>4</v>
      </c>
      <c r="D24" s="3" t="inlineStr">
        <is>
          <t>Review</t>
        </is>
      </c>
      <c r="E24" s="3" t="inlineStr">
        <is>
          <t>User-friendly app, quite easy to operate and handle things. Still missing the possibility to link Citadele to Garmin Pay, whereas competitors (Swedbank) already have it. Keep up!</t>
        </is>
      </c>
      <c r="F24" s="2" t="inlineStr">
        <is>
          <t>Mark Lithuania</t>
        </is>
      </c>
      <c r="G24" s="2" t="inlineStr">
        <is>
          <t>12.24</t>
        </is>
      </c>
      <c r="H24" s="2" t="inlineStr">
        <is>
          <t>2020-04-06T04:51:17-07:00</t>
        </is>
      </c>
      <c r="I24" s="2" t="inlineStr">
        <is>
          <t>5770664448</t>
        </is>
      </c>
      <c r="J24" s="2" t="inlineStr">
        <is>
          <t>https://itunes.apple.com/lt/reviews/id724691240</t>
        </is>
      </c>
      <c r="K24" s="2" t="n">
        <v>1</v>
      </c>
    </row>
    <row r="25">
      <c r="A25" s="2" t="inlineStr">
        <is>
          <t>Lithuania</t>
        </is>
      </c>
      <c r="B25" s="2" t="inlineStr">
        <is>
          <t>lt</t>
        </is>
      </c>
      <c r="C25" s="2" t="n">
        <v>4</v>
      </c>
      <c r="D25" s="3" t="inlineStr">
        <is>
          <t>iPad versijoje neveikia mobile scan</t>
        </is>
      </c>
      <c r="E25" s="3" t="inlineStr">
        <is>
          <t>Programėlė veikia puikiai iPhone, tačiau iPad nors ir aktyvavus mobile scan nėra galimybės prisijungti naudojant Face ID.</t>
        </is>
      </c>
      <c r="F25" s="2" t="inlineStr">
        <is>
          <t>Reggie Francisco</t>
        </is>
      </c>
      <c r="G25" s="2" t="inlineStr">
        <is>
          <t>12.17</t>
        </is>
      </c>
      <c r="H25" s="2" t="inlineStr">
        <is>
          <t>2019-08-01T02:05:16-07:00</t>
        </is>
      </c>
      <c r="I25" s="2" t="inlineStr">
        <is>
          <t>4549683154</t>
        </is>
      </c>
      <c r="J25" s="2" t="inlineStr">
        <is>
          <t>https://itunes.apple.com/lt/reviews/id144590112</t>
        </is>
      </c>
      <c r="K25" s="2" t="n">
        <v>1</v>
      </c>
    </row>
    <row r="26">
      <c r="A26" s="2" t="inlineStr">
        <is>
          <t>Lithuania</t>
        </is>
      </c>
      <c r="B26" s="2" t="inlineStr">
        <is>
          <t>lt</t>
        </is>
      </c>
      <c r="C26" s="2" t="n">
        <v>1</v>
      </c>
      <c r="D26" s="3" t="inlineStr">
        <is>
          <t>neveikia appsas</t>
        </is>
      </c>
      <c r="E26" s="3" t="inlineStr">
        <is>
          <t>Neveikia, tik kontaktus ir padalinius galima matyti, integravo matyt google zemelapi. Prisijungti prie banko paskyros neimanoma. Idomu kiek mln prasuko IT "specai".</t>
        </is>
      </c>
      <c r="F26" s="2" t="inlineStr">
        <is>
          <t>M i r k o</t>
        </is>
      </c>
      <c r="G26" s="2" t="inlineStr">
        <is>
          <t>12.14</t>
        </is>
      </c>
      <c r="H26" s="2" t="inlineStr">
        <is>
          <t>2019-05-09T09:42:27-07:00</t>
        </is>
      </c>
      <c r="I26" s="2" t="inlineStr">
        <is>
          <t>4124663536</t>
        </is>
      </c>
      <c r="J26" s="2" t="inlineStr">
        <is>
          <t>https://itunes.apple.com/lt/reviews/id825179085</t>
        </is>
      </c>
      <c r="K26" s="2" t="n">
        <v>1</v>
      </c>
    </row>
    <row r="27">
      <c r="A27" s="2" t="inlineStr">
        <is>
          <t>Lithuania</t>
        </is>
      </c>
      <c r="B27" s="2" t="inlineStr">
        <is>
          <t>lt</t>
        </is>
      </c>
      <c r="C27" s="2" t="n">
        <v>1</v>
      </c>
      <c r="D27" s="3" t="inlineStr">
        <is>
          <t>Tragedija</t>
        </is>
      </c>
      <c r="E27" s="3" t="inlineStr">
        <is>
          <t>Tragedija. Tiek metų ir jokių pokyčių į gerą su Jūsų apps’u.. Pastovūs gedimai, strigimai. 
Jau tris dienas neįmanoma prisijungt. Prisijungi, iškart reikalauja keisti slaptažodį, įvedi viską ir “Neteisingas dabartinis slaptažodis”.
Prisijungti prie bankininkystės teisingas, o jau slaptažodį pakeist-neteisingas 🤦🏼‍♀️🤦🏼‍♀️🤦🏼‍♀️</t>
        </is>
      </c>
      <c r="F27" s="2" t="inlineStr">
        <is>
          <t>Piktaaa</t>
        </is>
      </c>
      <c r="G27" s="2" t="inlineStr">
        <is>
          <t>12.14</t>
        </is>
      </c>
      <c r="H27" s="2" t="inlineStr">
        <is>
          <t>2019-04-25T13:09:51-07:00</t>
        </is>
      </c>
      <c r="I27" s="2" t="inlineStr">
        <is>
          <t>4059708557</t>
        </is>
      </c>
      <c r="J27" s="2" t="inlineStr">
        <is>
          <t>https://itunes.apple.com/lt/reviews/id361729637</t>
        </is>
      </c>
      <c r="K27" s="2" t="n">
        <v>1</v>
      </c>
    </row>
    <row r="28">
      <c r="A28" s="2" t="inlineStr">
        <is>
          <t>Lithuania</t>
        </is>
      </c>
      <c r="B28" s="2" t="inlineStr">
        <is>
          <t>lt</t>
        </is>
      </c>
      <c r="C28" s="2" t="n">
        <v>1</v>
      </c>
      <c r="D28" s="3" t="inlineStr">
        <is>
          <t>Nesamone</t>
        </is>
      </c>
      <c r="E28" s="3" t="inlineStr">
        <is>
          <t>Prisijungus prie programeles, praso pasikeisti koda, ivedi identiska sena koda, jog pakeist i nauja, raso kad neteisingas...</t>
        </is>
      </c>
      <c r="F28" s="2" t="inlineStr">
        <is>
          <t>armnkav21</t>
        </is>
      </c>
      <c r="G28" s="2" t="inlineStr">
        <is>
          <t>12.14</t>
        </is>
      </c>
      <c r="H28" s="2" t="inlineStr">
        <is>
          <t>2019-04-18T07:58:27-07:00</t>
        </is>
      </c>
      <c r="I28" s="2" t="inlineStr">
        <is>
          <t>4028679262</t>
        </is>
      </c>
      <c r="J28" s="2" t="inlineStr">
        <is>
          <t>https://itunes.apple.com/lt/reviews/id1007204947</t>
        </is>
      </c>
      <c r="K28" s="2" t="n">
        <v>1</v>
      </c>
    </row>
    <row r="29">
      <c r="A29" s="2" t="inlineStr">
        <is>
          <t>Lithuania</t>
        </is>
      </c>
      <c r="B29" s="2" t="inlineStr">
        <is>
          <t>lt</t>
        </is>
      </c>
      <c r="C29" s="2" t="n">
        <v>5</v>
      </c>
      <c r="D29" s="3" t="inlineStr">
        <is>
          <t>Puikiai</t>
        </is>
      </c>
      <c r="E29" s="3" t="inlineStr">
        <is>
          <t>Pranešimai apie atsiskaitymus kortele/pokyčius sąskaitoje paskutinėje programėlės versijoje, kortelių valdymas, super patogus MobilePASS, FaceID - turite puikią vartotojo patirtį. Padarytumėt Apple Pay - iš vis jums lygių nebūtų 😀</t>
        </is>
      </c>
      <c r="F29" s="2" t="inlineStr">
        <is>
          <t>Mindaugas N.</t>
        </is>
      </c>
      <c r="G29" s="2" t="inlineStr">
        <is>
          <t>12.14</t>
        </is>
      </c>
      <c r="H29" s="2" t="inlineStr">
        <is>
          <t>2019-04-17T08:03:37-07:00</t>
        </is>
      </c>
      <c r="I29" s="2" t="inlineStr">
        <is>
          <t>4024559282</t>
        </is>
      </c>
      <c r="J29" s="2" t="inlineStr">
        <is>
          <t>https://itunes.apple.com/lt/reviews/id482350589</t>
        </is>
      </c>
      <c r="K29" s="2" t="n">
        <v>1</v>
      </c>
    </row>
    <row r="30">
      <c r="A30" s="2" t="inlineStr">
        <is>
          <t>Lithuania</t>
        </is>
      </c>
      <c r="B30" s="2" t="inlineStr">
        <is>
          <t>lt</t>
        </is>
      </c>
      <c r="C30" s="2" t="n">
        <v>1</v>
      </c>
      <c r="D30" s="3" t="inlineStr">
        <is>
          <t>Naudotojas</t>
        </is>
      </c>
      <c r="E30" s="3" t="inlineStr">
        <is>
          <t>Tai kur ta galimybe matyti greita likuti iOS ???</t>
        </is>
      </c>
      <c r="F30" s="2" t="inlineStr">
        <is>
          <t>Pravalas</t>
        </is>
      </c>
      <c r="G30" s="2" t="inlineStr">
        <is>
          <t>12.12</t>
        </is>
      </c>
      <c r="H30" s="2" t="inlineStr">
        <is>
          <t>2019-01-25T03:54:38-07:00</t>
        </is>
      </c>
      <c r="I30" s="2" t="inlineStr">
        <is>
          <t>3692465025</t>
        </is>
      </c>
      <c r="J30" s="2" t="inlineStr">
        <is>
          <t>https://itunes.apple.com/lt/reviews/id414261566</t>
        </is>
      </c>
      <c r="K30" s="2" t="n">
        <v>1</v>
      </c>
    </row>
    <row r="31">
      <c r="A31" s="2" t="inlineStr">
        <is>
          <t>Lithuania</t>
        </is>
      </c>
      <c r="B31" s="2" t="inlineStr">
        <is>
          <t>lt</t>
        </is>
      </c>
      <c r="C31" s="2" t="n">
        <v>1</v>
      </c>
      <c r="D31" s="3" t="inlineStr">
        <is>
          <t>...</t>
        </is>
      </c>
      <c r="E31" s="3" t="inlineStr">
        <is>
          <t>neleidzia prisijungti nors prisijungimo vardas ir slaptazodis tikrai geri, per narsykle viskas veikia.</t>
        </is>
      </c>
      <c r="F31" s="2" t="inlineStr">
        <is>
          <t>ugnekookie</t>
        </is>
      </c>
      <c r="G31" s="2" t="inlineStr">
        <is>
          <t>12.11</t>
        </is>
      </c>
      <c r="H31" s="2" t="inlineStr">
        <is>
          <t>2019-01-03T11:08:16-07:00</t>
        </is>
      </c>
      <c r="I31" s="2" t="inlineStr">
        <is>
          <t>3608333325</t>
        </is>
      </c>
      <c r="J31" s="2" t="inlineStr">
        <is>
          <t>https://itunes.apple.com/lt/reviews/id918721179</t>
        </is>
      </c>
      <c r="K31" s="2" t="n">
        <v>1</v>
      </c>
    </row>
    <row r="32">
      <c r="A32" s="2" t="inlineStr">
        <is>
          <t>Lithuania</t>
        </is>
      </c>
      <c r="B32" s="2" t="inlineStr">
        <is>
          <t>lt</t>
        </is>
      </c>
      <c r="C32" s="2" t="n">
        <v>5</v>
      </c>
      <c r="D32" s="3" t="inlineStr">
        <is>
          <t>Už gerus ketinimus</t>
        </is>
      </c>
      <c r="E32" s="3" t="inlineStr">
        <is>
          <t>.</t>
        </is>
      </c>
      <c r="F32" s="2" t="inlineStr">
        <is>
          <t>Naudotojas123</t>
        </is>
      </c>
      <c r="G32" s="2" t="inlineStr">
        <is>
          <t>12.11</t>
        </is>
      </c>
      <c r="H32" s="2" t="inlineStr">
        <is>
          <t>2019-01-02T10:30:45-07:00</t>
        </is>
      </c>
      <c r="I32" s="2" t="inlineStr">
        <is>
          <t>3604347849</t>
        </is>
      </c>
      <c r="J32" s="2" t="inlineStr">
        <is>
          <t>https://itunes.apple.com/lt/reviews/id697799043</t>
        </is>
      </c>
      <c r="K32" s="2" t="n">
        <v>1</v>
      </c>
    </row>
    <row r="33">
      <c r="A33" s="2" t="inlineStr">
        <is>
          <t>Lithuania</t>
        </is>
      </c>
      <c r="B33" s="2" t="inlineStr">
        <is>
          <t>lt</t>
        </is>
      </c>
      <c r="C33" s="2" t="n">
        <v>1</v>
      </c>
      <c r="D33" s="3" t="inlineStr">
        <is>
          <t>Klientas</t>
        </is>
      </c>
      <c r="E33" s="3" t="inlineStr">
        <is>
          <t>Po atnaujinimo, nebegalima prisijungti prie programėlės, meta klaida, nors mobilusis parašas veikia :(</t>
        </is>
      </c>
      <c r="F33" s="2" t="inlineStr">
        <is>
          <t>auris_1</t>
        </is>
      </c>
      <c r="G33" s="2" t="inlineStr">
        <is>
          <t>12.10</t>
        </is>
      </c>
      <c r="H33" s="2" t="inlineStr">
        <is>
          <t>2018-12-10T04:53:59-07:00</t>
        </is>
      </c>
      <c r="I33" s="2" t="inlineStr">
        <is>
          <t>3515444894</t>
        </is>
      </c>
      <c r="J33" s="2" t="inlineStr">
        <is>
          <t>https://itunes.apple.com/lt/reviews/id553638799</t>
        </is>
      </c>
      <c r="K33" s="2" t="n">
        <v>1</v>
      </c>
    </row>
    <row r="34">
      <c r="A34" s="2" t="inlineStr">
        <is>
          <t>Lithuania</t>
        </is>
      </c>
      <c r="B34" s="2" t="inlineStr">
        <is>
          <t>lt</t>
        </is>
      </c>
      <c r="C34" s="2" t="n">
        <v>5</v>
      </c>
      <c r="D34" s="3" t="inlineStr">
        <is>
          <t>Puikiai atnaujintas appsas!</t>
        </is>
      </c>
      <c r="E34" s="3" t="inlineStr">
        <is>
          <t>Viskas ko reikia kasdienems operacijoms atlikti</t>
        </is>
      </c>
      <c r="F34" s="2" t="inlineStr">
        <is>
          <t>Agne Kotryna</t>
        </is>
      </c>
      <c r="G34" s="2" t="inlineStr">
        <is>
          <t>12.9</t>
        </is>
      </c>
      <c r="H34" s="2" t="inlineStr">
        <is>
          <t>2018-11-15T00:57:02-07:00</t>
        </is>
      </c>
      <c r="I34" s="2" t="inlineStr">
        <is>
          <t>3419869952</t>
        </is>
      </c>
      <c r="J34" s="2" t="inlineStr">
        <is>
          <t>https://itunes.apple.com/lt/reviews/id859082339</t>
        </is>
      </c>
      <c r="K34" s="2" t="n">
        <v>1</v>
      </c>
    </row>
    <row r="35">
      <c r="A35" s="2" t="inlineStr">
        <is>
          <t>Lithuania</t>
        </is>
      </c>
      <c r="B35" s="2" t="inlineStr">
        <is>
          <t>lt</t>
        </is>
      </c>
      <c r="C35" s="2" t="n">
        <v>1</v>
      </c>
      <c r="D35" s="3" t="inlineStr">
        <is>
          <t>Labai blogai</t>
        </is>
      </c>
      <c r="E35" s="3" t="inlineStr">
        <is>
          <t>Nei senoje, nei atnaujintoje programėleje suprasti sąskaitos likučii. Programėleje matau:
1,874.00 € (975.42 €)
Sąskaita
LTXX XXXX....
Kaip reikia suprasti, ką šitie skaičiai reiškia?</t>
        </is>
      </c>
      <c r="F35" s="2" t="inlineStr">
        <is>
          <t>Iggypopig</t>
        </is>
      </c>
      <c r="G35" s="2" t="inlineStr">
        <is>
          <t>12.6</t>
        </is>
      </c>
      <c r="H35" s="2" t="inlineStr">
        <is>
          <t>2018-07-03T08:19:02-07:00</t>
        </is>
      </c>
      <c r="I35" s="2" t="inlineStr">
        <is>
          <t>2828538036</t>
        </is>
      </c>
      <c r="J35" s="2" t="inlineStr">
        <is>
          <t>https://itunes.apple.com/lt/reviews/id285353939</t>
        </is>
      </c>
      <c r="K35" s="2" t="n">
        <v>1</v>
      </c>
    </row>
    <row r="36">
      <c r="A36" s="2" t="inlineStr">
        <is>
          <t>Lithuania</t>
        </is>
      </c>
      <c r="B36" s="2" t="inlineStr">
        <is>
          <t>lt</t>
        </is>
      </c>
      <c r="C36" s="2" t="n">
        <v>4</v>
      </c>
      <c r="D36" s="3" t="inlineStr">
        <is>
          <t>Pagaliau Quick Balance</t>
        </is>
      </c>
      <c r="E36" s="3" t="inlineStr">
        <is>
          <t>Džiaugiuosi, su naujuoju atnaujinimu atsirado greitojo likučio funkcija! Pirmyn, tikiuosi ir daugiau naujienų!</t>
        </is>
      </c>
      <c r="F36" s="2" t="inlineStr">
        <is>
          <t>epravilionis</t>
        </is>
      </c>
      <c r="G36" s="2" t="inlineStr">
        <is>
          <t>12.5</t>
        </is>
      </c>
      <c r="H36" s="2" t="inlineStr">
        <is>
          <t>2018-06-20T00:18:45-07:00</t>
        </is>
      </c>
      <c r="I36" s="2" t="inlineStr">
        <is>
          <t>2729615807</t>
        </is>
      </c>
      <c r="J36" s="2" t="inlineStr">
        <is>
          <t>https://itunes.apple.com/lt/reviews/id129666046</t>
        </is>
      </c>
      <c r="K36" s="2" t="n">
        <v>1</v>
      </c>
    </row>
    <row r="37">
      <c r="A37" s="2" t="inlineStr">
        <is>
          <t>Lithuania</t>
        </is>
      </c>
      <c r="B37" s="2" t="inlineStr">
        <is>
          <t>lt</t>
        </is>
      </c>
      <c r="C37" s="2" t="n">
        <v>1</v>
      </c>
      <c r="D37" s="3" t="inlineStr">
        <is>
          <t>Neišsaugo prisijungimo duomenų</t>
        </is>
      </c>
      <c r="E37" s="3" t="inlineStr">
        <is>
          <t>Jums turėtų būti gėda, kai per 3-4 mėnesius nuo launch'o nesugebate įdiegti vartotojo prisijungimo duomenų išsaugojimo. Šitas apps'as yra visiškai useless, kol tas nebus padaryta. Man 100 kart patogiau jungtis per naršyklę, kur Safari turi išsaugojęs visus duomenis.</t>
        </is>
      </c>
      <c r="F37" s="2" t="inlineStr">
        <is>
          <t>Pauliusl</t>
        </is>
      </c>
      <c r="G37" s="2" t="inlineStr">
        <is>
          <t>10.10</t>
        </is>
      </c>
      <c r="H37" s="2" t="inlineStr">
        <is>
          <t>2017-07-26T01:00:22-07:00</t>
        </is>
      </c>
      <c r="I37" s="2" t="inlineStr">
        <is>
          <t>1698765544</t>
        </is>
      </c>
      <c r="J37" s="2" t="inlineStr">
        <is>
          <t>https://itunes.apple.com/lt/reviews/id196813315</t>
        </is>
      </c>
      <c r="K37" s="2" t="n">
        <v>1</v>
      </c>
    </row>
    <row r="38">
      <c r="A38" s="2" t="inlineStr">
        <is>
          <t>Lithuania</t>
        </is>
      </c>
      <c r="B38" s="2" t="inlineStr">
        <is>
          <t>lt</t>
        </is>
      </c>
      <c r="C38" s="2" t="n">
        <v>1</v>
      </c>
      <c r="D38" s="3" t="inlineStr">
        <is>
          <t>Mobilus parašas neveikia</t>
        </is>
      </c>
      <c r="E38" s="3" t="inlineStr">
        <is>
          <t>Jungiantis su iPhone su mobiliu parašu neveikia, iškrenta pranešimas Sistemos klaida, su kodu generatoriumi prisijungti pavyksta.</t>
        </is>
      </c>
      <c r="F38" s="2" t="inlineStr">
        <is>
          <t>B-NOVO</t>
        </is>
      </c>
      <c r="G38" s="2" t="inlineStr">
        <is>
          <t>10.8</t>
        </is>
      </c>
      <c r="H38" s="2" t="inlineStr">
        <is>
          <t>2017-04-25T23:18:55-07:00</t>
        </is>
      </c>
      <c r="I38" s="2" t="inlineStr">
        <is>
          <t>1597870263</t>
        </is>
      </c>
      <c r="J38" s="2" t="inlineStr">
        <is>
          <t>https://itunes.apple.com/lt/reviews/id156437961</t>
        </is>
      </c>
      <c r="K38" s="2" t="n">
        <v>1</v>
      </c>
    </row>
    <row r="39">
      <c r="A39" s="2" t="inlineStr">
        <is>
          <t>Lithuania</t>
        </is>
      </c>
      <c r="B39" s="2" t="inlineStr">
        <is>
          <t>lt</t>
        </is>
      </c>
      <c r="C39" s="2" t="n">
        <v>2</v>
      </c>
      <c r="D39" s="3" t="inlineStr">
        <is>
          <t>Labai ribotos galimybės</t>
        </is>
      </c>
      <c r="E39" s="3" t="inlineStr">
        <is>
          <t>Negalima net vartotojo vardo išsaugoti.</t>
        </is>
      </c>
      <c r="F39" s="2" t="inlineStr">
        <is>
          <t>Vytautask</t>
        </is>
      </c>
      <c r="G39" s="2" t="inlineStr">
        <is>
          <t>10.8</t>
        </is>
      </c>
      <c r="H39" s="2" t="inlineStr">
        <is>
          <t>2017-04-24T20:12:32-07:00</t>
        </is>
      </c>
      <c r="I39" s="2" t="inlineStr">
        <is>
          <t>1596957227</t>
        </is>
      </c>
      <c r="J39" s="2" t="inlineStr">
        <is>
          <t>https://itunes.apple.com/lt/reviews/id108775044</t>
        </is>
      </c>
      <c r="K39" s="2" t="n">
        <v>1</v>
      </c>
    </row>
    <row r="40">
      <c r="A40" s="2" t="inlineStr">
        <is>
          <t>Lithuania</t>
        </is>
      </c>
      <c r="B40" s="2" t="inlineStr">
        <is>
          <t>lt</t>
        </is>
      </c>
      <c r="C40" s="2" t="n">
        <v>1</v>
      </c>
      <c r="D40" s="3" t="inlineStr">
        <is>
          <t>Lithuania</t>
        </is>
      </c>
      <c r="E40" s="3" t="inlineStr">
        <is>
          <t>Does not support Lithuanian clients :(</t>
        </is>
      </c>
      <c r="F40" s="2" t="inlineStr">
        <is>
          <t>Dzonis5</t>
        </is>
      </c>
      <c r="G40" s="2" t="inlineStr">
        <is>
          <t>9</t>
        </is>
      </c>
      <c r="H40" s="2" t="inlineStr">
        <is>
          <t>2016-04-28T03:46:03-07:00</t>
        </is>
      </c>
      <c r="I40" s="2" t="inlineStr">
        <is>
          <t>1370077302</t>
        </is>
      </c>
      <c r="J40" s="2" t="inlineStr">
        <is>
          <t>https://itunes.apple.com/lt/reviews/id283590754</t>
        </is>
      </c>
      <c r="K40" s="2" t="n">
        <v>1</v>
      </c>
    </row>
    <row r="41">
      <c r="A41" s="2" t="inlineStr">
        <is>
          <t>Lithuania</t>
        </is>
      </c>
      <c r="B41" s="2" t="inlineStr">
        <is>
          <t>lt</t>
        </is>
      </c>
      <c r="C41" s="2" t="n">
        <v>2</v>
      </c>
      <c r="D41" s="3" t="inlineStr">
        <is>
          <t>Tik Latvijai</t>
        </is>
      </c>
      <c r="E41" s="3" t="inlineStr">
        <is>
          <t>Nepalaiko Lietuvos klientų. Neįmanoma prisijungti prie internetinės bankininkystės. :(</t>
        </is>
      </c>
      <c r="F41" s="2" t="inlineStr">
        <is>
          <t>bladò</t>
        </is>
      </c>
      <c r="G41" s="2" t="inlineStr">
        <is>
          <t>2.1</t>
        </is>
      </c>
      <c r="H41" s="2" t="inlineStr">
        <is>
          <t>2013-05-06T21:24:34-07:00</t>
        </is>
      </c>
      <c r="I41" s="2" t="inlineStr">
        <is>
          <t>800476396</t>
        </is>
      </c>
      <c r="J41" s="2" t="inlineStr">
        <is>
          <t>https://itunes.apple.com/lt/reviews/id270894101</t>
        </is>
      </c>
      <c r="K41" s="2" t="n">
        <v>1</v>
      </c>
    </row>
  </sheetData>
  <autoFilter ref="A1:K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22" customWidth="1" min="3" max="3"/>
    <col width="8" customWidth="1" min="4" max="4"/>
    <col width="8" customWidth="1" min="5" max="5"/>
    <col width="8" customWidth="1" min="6" max="6"/>
    <col width="8" customWidth="1" min="7" max="7"/>
    <col width="8" customWidth="1" min="8" max="8"/>
  </cols>
  <sheetData>
    <row r="1">
      <c r="A1" s="4" t="inlineStr">
        <is>
          <t>Country</t>
        </is>
      </c>
      <c r="B1" s="4" t="inlineStr">
        <is>
          <t>Reviews fetched</t>
        </is>
      </c>
      <c r="C1" s="4" t="inlineStr">
        <is>
          <t>Avg rating (formula)</t>
        </is>
      </c>
      <c r="D1" s="4" t="inlineStr">
        <is>
          <t>5★</t>
        </is>
      </c>
      <c r="E1" s="4" t="inlineStr">
        <is>
          <t>4★</t>
        </is>
      </c>
      <c r="F1" s="4" t="inlineStr">
        <is>
          <t>3★</t>
        </is>
      </c>
      <c r="G1" s="4" t="inlineStr">
        <is>
          <t>2★</t>
        </is>
      </c>
      <c r="H1" s="4" t="inlineStr">
        <is>
          <t>1★</t>
        </is>
      </c>
    </row>
    <row r="2">
      <c r="A2" t="inlineStr">
        <is>
          <t>Estonia</t>
        </is>
      </c>
      <c r="B2">
        <f>COUNTIF(Reviews!A:A,A2)</f>
        <v/>
      </c>
      <c r="C2" s="5">
        <f>IFERROR(AVERAGEIF(Reviews!A:A,A2,Reviews!C:C),0)</f>
        <v/>
      </c>
      <c r="D2">
        <f>COUNTIFS(Reviews!A:A,A2,Reviews!C:C,5)</f>
        <v/>
      </c>
      <c r="E2">
        <f>COUNTIFS(Reviews!A:A,A2,Reviews!C:C,4)</f>
        <v/>
      </c>
      <c r="F2">
        <f>COUNTIFS(Reviews!A:A,A2,Reviews!C:C,3)</f>
        <v/>
      </c>
      <c r="G2">
        <f>COUNTIFS(Reviews!A:A,A2,Reviews!C:C,2)</f>
        <v/>
      </c>
      <c r="H2">
        <f>COUNTIFS(Reviews!A:A,A2,Reviews!C:C,1)</f>
        <v/>
      </c>
    </row>
    <row r="3">
      <c r="A3" t="inlineStr">
        <is>
          <t>Lithuania</t>
        </is>
      </c>
      <c r="B3">
        <f>COUNTIF(Reviews!A:A,A3)</f>
        <v/>
      </c>
      <c r="C3" s="5">
        <f>IFERROR(AVERAGEIF(Reviews!A:A,A3,Reviews!C:C),0)</f>
        <v/>
      </c>
      <c r="D3">
        <f>COUNTIFS(Reviews!A:A,A3,Reviews!C:C,5)</f>
        <v/>
      </c>
      <c r="E3">
        <f>COUNTIFS(Reviews!A:A,A3,Reviews!C:C,4)</f>
        <v/>
      </c>
      <c r="F3">
        <f>COUNTIFS(Reviews!A:A,A3,Reviews!C:C,3)</f>
        <v/>
      </c>
      <c r="G3">
        <f>COUNTIFS(Reviews!A:A,A3,Reviews!C:C,2)</f>
        <v/>
      </c>
      <c r="H3">
        <f>COUNTIFS(Reviews!A:A,A3,Reviews!C:C,1)</f>
        <v/>
      </c>
    </row>
    <row r="4">
      <c r="A4" t="inlineStr">
        <is>
          <t>Latvia</t>
        </is>
      </c>
      <c r="B4">
        <f>COUNTIF(Reviews!A:A,A4)</f>
        <v/>
      </c>
      <c r="C4" s="5">
        <f>IFERROR(AVERAGEIF(Reviews!A:A,A4,Reviews!C:C),0)</f>
        <v/>
      </c>
      <c r="D4">
        <f>COUNTIFS(Reviews!A:A,A4,Reviews!C:C,5)</f>
        <v/>
      </c>
      <c r="E4">
        <f>COUNTIFS(Reviews!A:A,A4,Reviews!C:C,4)</f>
        <v/>
      </c>
      <c r="F4">
        <f>COUNTIFS(Reviews!A:A,A4,Reviews!C:C,3)</f>
        <v/>
      </c>
      <c r="G4">
        <f>COUNTIFS(Reviews!A:A,A4,Reviews!C:C,2)</f>
        <v/>
      </c>
      <c r="H4">
        <f>COUNTIFS(Reviews!A:A,A4,Reviews!C:C,1)</f>
        <v/>
      </c>
    </row>
    <row r="5">
      <c r="A5" s="6" t="inlineStr">
        <is>
          <t>TOTAL</t>
        </is>
      </c>
      <c r="B5" s="6">
        <f>SUM(B2:B4)</f>
        <v/>
      </c>
      <c r="C5" s="7">
        <f>IFERROR(AVERAGE(Reviews!C2:C41),0)</f>
        <v/>
      </c>
      <c r="D5" s="6">
        <f>SUM(D2:D4)</f>
        <v/>
      </c>
      <c r="E5" s="6">
        <f>SUM(E2:E4)</f>
        <v/>
      </c>
      <c r="F5" s="6">
        <f>SUM(F2:F4)</f>
        <v/>
      </c>
      <c r="G5" s="6">
        <f>SUM(G2:G4)</f>
        <v/>
      </c>
      <c r="H5" s="6">
        <f>SUM(H2:H4)</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2026-06-01T11:25:47Z</dcterms:created>
  <dcterms:modified xsi:type="dcterms:W3CDTF">2026-06-01T11:25:47Z</dcterms:modified>
</cp:coreProperties>
</file>