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'Reviews'!$A$1:$K$7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6" customWidth="1" min="2" max="2"/>
    <col width="8" customWidth="1" min="3" max="3"/>
    <col width="40" customWidth="1" min="4" max="4"/>
    <col width="70" customWidth="1" min="5" max="5"/>
    <col width="22" customWidth="1" min="6" max="6"/>
    <col width="12" customWidth="1" min="7" max="7"/>
    <col width="22" customWidth="1" min="8" max="8"/>
    <col width="14" customWidth="1" min="9" max="9"/>
    <col width="40" customWidth="1" min="10" max="10"/>
    <col width="6" customWidth="1" min="11" max="11"/>
  </cols>
  <sheetData>
    <row r="1">
      <c r="A1" s="1" t="inlineStr">
        <is>
          <t>Country</t>
        </is>
      </c>
      <c r="B1" s="1" t="inlineStr">
        <is>
          <t>Country code</t>
        </is>
      </c>
      <c r="C1" s="1" t="inlineStr">
        <is>
          <t>Rating</t>
        </is>
      </c>
      <c r="D1" s="1" t="inlineStr">
        <is>
          <t>Title</t>
        </is>
      </c>
      <c r="E1" s="1" t="inlineStr">
        <is>
          <t>Content</t>
        </is>
      </c>
      <c r="F1" s="1" t="inlineStr">
        <is>
          <t>Author</t>
        </is>
      </c>
      <c r="G1" s="1" t="inlineStr">
        <is>
          <t>App version</t>
        </is>
      </c>
      <c r="H1" s="1" t="inlineStr">
        <is>
          <t>Updated (UTC)</t>
        </is>
      </c>
      <c r="I1" s="1" t="inlineStr">
        <is>
          <t>Review ID</t>
        </is>
      </c>
      <c r="J1" s="1" t="inlineStr">
        <is>
          <t>Author URI</t>
        </is>
      </c>
      <c r="K1" s="1" t="inlineStr">
        <is>
          <t>Page</t>
        </is>
      </c>
    </row>
    <row r="2">
      <c r="A2" s="2" t="inlineStr">
        <is>
          <t>Estonia</t>
        </is>
      </c>
      <c r="B2" s="2" t="inlineStr">
        <is>
          <t>ee</t>
        </is>
      </c>
      <c r="C2" s="2" t="n">
        <v>5</v>
      </c>
      <c r="D2" s="3" t="inlineStr">
        <is>
          <t>Kiire teenus</t>
        </is>
      </c>
      <c r="E2" s="3" t="inlineStr">
        <is>
          <t>Pangateenus super kiire . Tänud</t>
        </is>
      </c>
      <c r="F2" s="2" t="inlineStr">
        <is>
          <t>racky88</t>
        </is>
      </c>
      <c r="G2" s="2" t="inlineStr">
        <is>
          <t>45.7</t>
        </is>
      </c>
      <c r="H2" s="2" t="inlineStr">
        <is>
          <t>2026-01-06T07:00:12-07:00</t>
        </is>
      </c>
      <c r="I2" s="2" t="inlineStr">
        <is>
          <t>13601787565</t>
        </is>
      </c>
      <c r="J2" s="2" t="inlineStr">
        <is>
          <t>https://itunes.apple.com/ee/reviews/id104106069</t>
        </is>
      </c>
      <c r="K2" s="2" t="n">
        <v>1</v>
      </c>
    </row>
    <row r="3">
      <c r="A3" s="2" t="inlineStr">
        <is>
          <t>Estonia</t>
        </is>
      </c>
      <c r="B3" s="2" t="inlineStr">
        <is>
          <t>ee</t>
        </is>
      </c>
      <c r="C3" s="2" t="n">
        <v>5</v>
      </c>
      <c r="D3" s="3" t="inlineStr">
        <is>
          <t>iPad</t>
        </is>
      </c>
      <c r="E3" s="3" t="inlineStr">
        <is>
          <t>Need upgrade app for using iPad</t>
        </is>
      </c>
      <c r="F3" s="2" t="inlineStr">
        <is>
          <t>Sv&amp;K</t>
        </is>
      </c>
      <c r="G3" s="2" t="inlineStr">
        <is>
          <t>45.5</t>
        </is>
      </c>
      <c r="H3" s="2" t="inlineStr">
        <is>
          <t>2025-10-15T09:11:09-07:00</t>
        </is>
      </c>
      <c r="I3" s="2" t="inlineStr">
        <is>
          <t>13270224863</t>
        </is>
      </c>
      <c r="J3" s="2" t="inlineStr">
        <is>
          <t>https://itunes.apple.com/ee/reviews/id1302771618</t>
        </is>
      </c>
      <c r="K3" s="2" t="n">
        <v>1</v>
      </c>
    </row>
    <row r="4">
      <c r="A4" s="2" t="inlineStr">
        <is>
          <t>Estonia</t>
        </is>
      </c>
      <c r="B4" s="2" t="inlineStr">
        <is>
          <t>ee</t>
        </is>
      </c>
      <c r="C4" s="2" t="n">
        <v>1</v>
      </c>
      <c r="D4" s="3" t="inlineStr">
        <is>
          <t>Sup</t>
        </is>
      </c>
      <c r="E4" s="3" t="inlineStr">
        <is>
          <t>They ask for mic and screen recording and wont allow without it which is sketchy</t>
        </is>
      </c>
      <c r="F4" s="2" t="inlineStr">
        <is>
          <t>ints7298</t>
        </is>
      </c>
      <c r="G4" s="2" t="inlineStr">
        <is>
          <t>45.5</t>
        </is>
      </c>
      <c r="H4" s="2" t="inlineStr">
        <is>
          <t>2025-10-08T02:37:15-07:00</t>
        </is>
      </c>
      <c r="I4" s="2" t="inlineStr">
        <is>
          <t>13239167735</t>
        </is>
      </c>
      <c r="J4" s="2" t="inlineStr">
        <is>
          <t>https://itunes.apple.com/ee/reviews/id1221150806</t>
        </is>
      </c>
      <c r="K4" s="2" t="n">
        <v>1</v>
      </c>
    </row>
    <row r="5">
      <c r="A5" s="2" t="inlineStr">
        <is>
          <t>Estonia</t>
        </is>
      </c>
      <c r="B5" s="2" t="inlineStr">
        <is>
          <t>ee</t>
        </is>
      </c>
      <c r="C5" s="2" t="n">
        <v>1</v>
      </c>
      <c r="D5" s="3" t="inlineStr">
        <is>
          <t>Confusing</t>
        </is>
      </c>
      <c r="E5" s="3" t="inlineStr">
        <is>
          <t>MobileSCAN doesn’t work and the whole authenticaton process is very confusing. No Smart-ID either.</t>
        </is>
      </c>
      <c r="F5" s="2" t="inlineStr">
        <is>
          <t>r47693</t>
        </is>
      </c>
      <c r="G5" s="2" t="inlineStr">
        <is>
          <t>45.3</t>
        </is>
      </c>
      <c r="H5" s="2" t="inlineStr">
        <is>
          <t>2025-09-12T02:33:53-07:00</t>
        </is>
      </c>
      <c r="I5" s="2" t="inlineStr">
        <is>
          <t>13127762461</t>
        </is>
      </c>
      <c r="J5" s="2" t="inlineStr">
        <is>
          <t>https://itunes.apple.com/ee/reviews/id122905050</t>
        </is>
      </c>
      <c r="K5" s="2" t="n">
        <v>1</v>
      </c>
    </row>
    <row r="6">
      <c r="A6" s="2" t="inlineStr">
        <is>
          <t>Estonia</t>
        </is>
      </c>
      <c r="B6" s="2" t="inlineStr">
        <is>
          <t>ee</t>
        </is>
      </c>
      <c r="C6" s="2" t="n">
        <v>1</v>
      </c>
      <c r="D6" s="3" t="inlineStr">
        <is>
          <t>Elmars</t>
        </is>
      </c>
      <c r="E6" s="3" t="inlineStr">
        <is>
          <t>Very hard to change profile and lot of standard things missing</t>
        </is>
      </c>
      <c r="F6" s="2" t="inlineStr">
        <is>
          <t>Karumatti</t>
        </is>
      </c>
      <c r="G6" s="2" t="inlineStr">
        <is>
          <t>44.2</t>
        </is>
      </c>
      <c r="H6" s="2" t="inlineStr">
        <is>
          <t>2025-01-29T00:47:34-07:00</t>
        </is>
      </c>
      <c r="I6" s="2" t="inlineStr">
        <is>
          <t>12244130900</t>
        </is>
      </c>
      <c r="J6" s="2" t="inlineStr">
        <is>
          <t>https://itunes.apple.com/ee/reviews/id200801155</t>
        </is>
      </c>
      <c r="K6" s="2" t="n">
        <v>1</v>
      </c>
    </row>
    <row r="7">
      <c r="A7" s="2" t="inlineStr">
        <is>
          <t>Estonia</t>
        </is>
      </c>
      <c r="B7" s="2" t="inlineStr">
        <is>
          <t>ee</t>
        </is>
      </c>
      <c r="C7" s="2" t="n">
        <v>1</v>
      </c>
      <c r="D7" s="3" t="inlineStr">
        <is>
          <t>Broken login</t>
        </is>
      </c>
      <c r="E7" s="3" t="inlineStr">
        <is>
          <t>Content on login screen is wrong. Save toggle works and hide toggle.
Automatic login with Face ID is not working. Have to log in manually every time. Code entering for login results in error.
The app was horrible, then it was working for a while, and now it is terrible.
Do you not try out your app before releasing?</t>
        </is>
      </c>
      <c r="F7" s="2" t="inlineStr">
        <is>
          <t>irdaks</t>
        </is>
      </c>
      <c r="G7" s="2" t="inlineStr">
        <is>
          <t>12.44</t>
        </is>
      </c>
      <c r="H7" s="2" t="inlineStr">
        <is>
          <t>2022-02-28T01:39:00-07:00</t>
        </is>
      </c>
      <c r="I7" s="2" t="inlineStr">
        <is>
          <t>8404883771</t>
        </is>
      </c>
      <c r="J7" s="2" t="inlineStr">
        <is>
          <t>https://itunes.apple.com/ee/reviews/id654309525</t>
        </is>
      </c>
      <c r="K7" s="2" t="n">
        <v>1</v>
      </c>
    </row>
  </sheetData>
  <autoFilter ref="A1:K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22" customWidth="1" min="3" max="3"/>
    <col width="8" customWidth="1" min="4" max="4"/>
    <col width="8" customWidth="1" min="5" max="5"/>
    <col width="8" customWidth="1" min="6" max="6"/>
    <col width="8" customWidth="1" min="7" max="7"/>
    <col width="8" customWidth="1" min="8" max="8"/>
  </cols>
  <sheetData>
    <row r="1">
      <c r="A1" s="4" t="inlineStr">
        <is>
          <t>Country</t>
        </is>
      </c>
      <c r="B1" s="4" t="inlineStr">
        <is>
          <t>Reviews fetched</t>
        </is>
      </c>
      <c r="C1" s="4" t="inlineStr">
        <is>
          <t>Avg rating (formula)</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IFERROR(AVERAGEIF(Reviews!A:A,A2,Reviews!C:C),0)</f>
        <v/>
      </c>
      <c r="D2">
        <f>COUNTIFS(Reviews!A:A,A2,Reviews!C:C,5)</f>
        <v/>
      </c>
      <c r="E2">
        <f>COUNTIFS(Reviews!A:A,A2,Reviews!C:C,4)</f>
        <v/>
      </c>
      <c r="F2">
        <f>COUNTIFS(Reviews!A:A,A2,Reviews!C:C,3)</f>
        <v/>
      </c>
      <c r="G2">
        <f>COUNTIFS(Reviews!A:A,A2,Reviews!C:C,2)</f>
        <v/>
      </c>
      <c r="H2">
        <f>COUNTIFS(Reviews!A:A,A2,Reviews!C:C,1)</f>
        <v/>
      </c>
    </row>
    <row r="3">
      <c r="A3" t="inlineStr">
        <is>
          <t>Lithuania</t>
        </is>
      </c>
      <c r="B3">
        <f>COUNTIF(Reviews!A:A,A3)</f>
        <v/>
      </c>
      <c r="C3" s="5">
        <f>IFERROR(AVERAGEIF(Reviews!A:A,A3,Reviews!C:C),0)</f>
        <v/>
      </c>
      <c r="D3">
        <f>COUNTIFS(Reviews!A:A,A3,Reviews!C:C,5)</f>
        <v/>
      </c>
      <c r="E3">
        <f>COUNTIFS(Reviews!A:A,A3,Reviews!C:C,4)</f>
        <v/>
      </c>
      <c r="F3">
        <f>COUNTIFS(Reviews!A:A,A3,Reviews!C:C,3)</f>
        <v/>
      </c>
      <c r="G3">
        <f>COUNTIFS(Reviews!A:A,A3,Reviews!C:C,2)</f>
        <v/>
      </c>
      <c r="H3">
        <f>COUNTIFS(Reviews!A:A,A3,Reviews!C:C,1)</f>
        <v/>
      </c>
    </row>
    <row r="4">
      <c r="A4" t="inlineStr">
        <is>
          <t>Latvia</t>
        </is>
      </c>
      <c r="B4">
        <f>COUNTIF(Reviews!A:A,A4)</f>
        <v/>
      </c>
      <c r="C4" s="5">
        <f>IFERROR(AVERAGEIF(Reviews!A:A,A4,Reviews!C:C),0)</f>
        <v/>
      </c>
      <c r="D4">
        <f>COUNTIFS(Reviews!A:A,A4,Reviews!C:C,5)</f>
        <v/>
      </c>
      <c r="E4">
        <f>COUNTIFS(Reviews!A:A,A4,Reviews!C:C,4)</f>
        <v/>
      </c>
      <c r="F4">
        <f>COUNTIFS(Reviews!A:A,A4,Reviews!C:C,3)</f>
        <v/>
      </c>
      <c r="G4">
        <f>COUNTIFS(Reviews!A:A,A4,Reviews!C:C,2)</f>
        <v/>
      </c>
      <c r="H4">
        <f>COUNTIFS(Reviews!A:A,A4,Reviews!C:C,1)</f>
        <v/>
      </c>
    </row>
    <row r="5">
      <c r="A5" s="6" t="inlineStr">
        <is>
          <t>TOTAL</t>
        </is>
      </c>
      <c r="B5" s="6">
        <f>SUM(B2:B4)</f>
        <v/>
      </c>
      <c r="C5" s="7">
        <f>IFERROR(AVERAGE(Reviews!C2:C7),0)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2026-09-28T12:47:05Z</dcterms:created>
  <dcterms:modified xsi:type="dcterms:W3CDTF">2026-09-28T12:47:05Z</dcterms:modified>
</cp:coreProperties>
</file>